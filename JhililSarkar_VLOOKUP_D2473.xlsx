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xr:revisionPtr revIDLastSave="0" documentId="8_{C01567D3-44E1-42CB-934E-9A4C7A11F927}" xr6:coauthVersionLast="47" xr6:coauthVersionMax="47" xr10:uidLastSave="{00000000-0000-0000-0000-000000000000}"/>
  <bookViews>
    <workbookView xWindow="-108" yWindow="-108" windowWidth="23256" windowHeight="12456" activeTab="8" xr2:uid="{38667E43-AA40-43BB-958A-79599A94E253}"/>
  </bookViews>
  <sheets>
    <sheet name="Products" sheetId="1" r:id="rId1"/>
    <sheet name="Orders" sheetId="2" r:id="rId2"/>
    <sheet name="1ST" sheetId="3" r:id="rId3"/>
    <sheet name="2nd" sheetId="4" r:id="rId4"/>
    <sheet name="3RD" sheetId="5" r:id="rId5"/>
    <sheet name="4TH" sheetId="6" r:id="rId6"/>
    <sheet name="5TH" sheetId="7" r:id="rId7"/>
    <sheet name="6TH" sheetId="8" r:id="rId8"/>
    <sheet name="7T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9" l="1"/>
  <c r="D6" i="9"/>
  <c r="D7" i="9"/>
  <c r="D8" i="9"/>
  <c r="D9" i="9"/>
  <c r="D4" i="9"/>
  <c r="D5" i="8"/>
  <c r="D6" i="8"/>
  <c r="D7" i="8"/>
  <c r="D8" i="8"/>
  <c r="D9" i="8"/>
  <c r="D4" i="8"/>
  <c r="E5" i="7"/>
  <c r="E6" i="7"/>
  <c r="E7" i="7"/>
  <c r="E8" i="7"/>
  <c r="E9" i="7"/>
  <c r="E4" i="7"/>
  <c r="D9" i="7"/>
  <c r="D8" i="7"/>
  <c r="D7" i="7"/>
  <c r="D6" i="7"/>
  <c r="D5" i="7"/>
  <c r="D4" i="7"/>
  <c r="E5" i="6"/>
  <c r="E6" i="6"/>
  <c r="E7" i="6"/>
  <c r="E8" i="6"/>
  <c r="E9" i="6"/>
  <c r="E4" i="6"/>
  <c r="D9" i="6"/>
  <c r="D8" i="6"/>
  <c r="D5" i="6"/>
  <c r="D6" i="6"/>
  <c r="D7" i="6"/>
  <c r="D4" i="6"/>
  <c r="D7" i="5"/>
  <c r="D4" i="5"/>
  <c r="D5" i="5"/>
  <c r="D6" i="5"/>
  <c r="D8" i="5"/>
  <c r="D3" i="5"/>
  <c r="E5" i="4"/>
  <c r="E6" i="4"/>
  <c r="E7" i="4"/>
  <c r="E8" i="4"/>
  <c r="E9" i="4"/>
  <c r="E4" i="4"/>
  <c r="D9" i="4"/>
  <c r="D8" i="4"/>
  <c r="D5" i="4"/>
  <c r="D6" i="4"/>
  <c r="D7" i="4"/>
  <c r="D4" i="4"/>
  <c r="D9" i="3"/>
  <c r="D8" i="3"/>
  <c r="D5" i="3"/>
  <c r="D6" i="3"/>
  <c r="D7" i="3"/>
  <c r="D4" i="3"/>
</calcChain>
</file>

<file path=xl/sharedStrings.xml><?xml version="1.0" encoding="utf-8"?>
<sst xmlns="http://schemas.openxmlformats.org/spreadsheetml/2006/main" count="59" uniqueCount="22">
  <si>
    <t>ProductID</t>
  </si>
  <si>
    <t>Product</t>
  </si>
  <si>
    <t>Price</t>
  </si>
  <si>
    <t>ProductA</t>
  </si>
  <si>
    <t>ProductB</t>
  </si>
  <si>
    <t>ProductC</t>
  </si>
  <si>
    <t>ProductD</t>
  </si>
  <si>
    <t>ProductE</t>
  </si>
  <si>
    <t>ProductF</t>
  </si>
  <si>
    <t>Products Worksheet</t>
  </si>
  <si>
    <t>OrderID</t>
  </si>
  <si>
    <t>Quantity</t>
  </si>
  <si>
    <t>TotalPrice</t>
  </si>
  <si>
    <t>Orders Worksheet</t>
  </si>
  <si>
    <t>Product Name</t>
  </si>
  <si>
    <t>Existance</t>
  </si>
  <si>
    <t>Discounted Price</t>
  </si>
  <si>
    <t>Max Order Value</t>
  </si>
  <si>
    <t>Not Ordered</t>
  </si>
  <si>
    <t>Total Quantity Sold</t>
  </si>
  <si>
    <t>Product Names for Each ProductID</t>
  </si>
  <si>
    <t>Price for Each 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</si>
</sst>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/>
    <xf numFmtId="0" fontId="0" fillId="10" borderId="0" xfId="0" applyFill="1" applyAlignment="1">
      <alignment horizontal="center"/>
    </xf>
    <xf numFmtId="0" fontId="0" fillId="10" borderId="2" xfId="0" applyFill="1" applyBorder="1" applyAlignment="1">
      <alignment horizontal="center"/>
    </xf>
    <xf numFmtId="0" fontId="0" fillId="2" borderId="5" xfId="0" applyFill="1" applyBorder="1"/>
    <xf numFmtId="0" fontId="0" fillId="11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1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0F06-C09C-4F25-842D-9FFBE837BFFB}">
  <dimension ref="A1:C9"/>
  <sheetViews>
    <sheetView zoomScale="162" workbookViewId="0">
      <selection activeCell="A3" sqref="A3:C9"/>
    </sheetView>
  </sheetViews>
  <sheetFormatPr defaultRowHeight="14.4" x14ac:dyDescent="0.3"/>
  <sheetData>
    <row r="1" spans="1:3" x14ac:dyDescent="0.3">
      <c r="A1" s="7" t="s">
        <v>9</v>
      </c>
      <c r="B1" s="8"/>
      <c r="C1" s="9"/>
    </row>
    <row r="2" spans="1:3" x14ac:dyDescent="0.3">
      <c r="A2" s="6"/>
      <c r="B2" s="6"/>
      <c r="C2" s="10"/>
    </row>
    <row r="3" spans="1:3" x14ac:dyDescent="0.3">
      <c r="A3" s="1" t="s">
        <v>0</v>
      </c>
      <c r="B3" s="1" t="s">
        <v>1</v>
      </c>
      <c r="C3" s="1" t="s">
        <v>2</v>
      </c>
    </row>
    <row r="4" spans="1:3" x14ac:dyDescent="0.3">
      <c r="A4" s="2">
        <v>101</v>
      </c>
      <c r="B4" s="3" t="s">
        <v>3</v>
      </c>
      <c r="C4" s="4">
        <v>120</v>
      </c>
    </row>
    <row r="5" spans="1:3" x14ac:dyDescent="0.3">
      <c r="A5" s="2">
        <v>102</v>
      </c>
      <c r="B5" s="3" t="s">
        <v>4</v>
      </c>
      <c r="C5" s="4">
        <v>150</v>
      </c>
    </row>
    <row r="6" spans="1:3" x14ac:dyDescent="0.3">
      <c r="A6" s="2">
        <v>103</v>
      </c>
      <c r="B6" s="3" t="s">
        <v>5</v>
      </c>
      <c r="C6" s="4">
        <v>200</v>
      </c>
    </row>
    <row r="7" spans="1:3" x14ac:dyDescent="0.3">
      <c r="A7" s="2">
        <v>104</v>
      </c>
      <c r="B7" s="3" t="s">
        <v>6</v>
      </c>
      <c r="C7" s="4">
        <v>90</v>
      </c>
    </row>
    <row r="8" spans="1:3" x14ac:dyDescent="0.3">
      <c r="A8" s="2">
        <v>105</v>
      </c>
      <c r="B8" s="3" t="s">
        <v>7</v>
      </c>
      <c r="C8" s="4">
        <v>220</v>
      </c>
    </row>
    <row r="9" spans="1:3" x14ac:dyDescent="0.3">
      <c r="A9" s="2">
        <v>106</v>
      </c>
      <c r="B9" s="3" t="s">
        <v>8</v>
      </c>
      <c r="C9" s="4">
        <v>130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A8C6-8D6E-4248-847B-A3D3D16EBCEC}">
  <dimension ref="A1:C9"/>
  <sheetViews>
    <sheetView zoomScale="157" workbookViewId="0">
      <selection activeCell="D3" sqref="D3"/>
    </sheetView>
  </sheetViews>
  <sheetFormatPr defaultRowHeight="14.4" x14ac:dyDescent="0.3"/>
  <sheetData>
    <row r="1" spans="1:3" x14ac:dyDescent="0.3">
      <c r="A1" s="23" t="s">
        <v>13</v>
      </c>
      <c r="B1" s="15"/>
      <c r="C1" s="15"/>
    </row>
    <row r="2" spans="1:3" x14ac:dyDescent="0.3">
      <c r="A2" s="16"/>
      <c r="B2" s="16"/>
      <c r="C2" s="16"/>
    </row>
    <row r="3" spans="1:3" x14ac:dyDescent="0.3">
      <c r="A3" s="1" t="s">
        <v>10</v>
      </c>
      <c r="B3" s="1" t="s">
        <v>0</v>
      </c>
      <c r="C3" s="1" t="s">
        <v>11</v>
      </c>
    </row>
    <row r="4" spans="1:3" x14ac:dyDescent="0.3">
      <c r="A4" s="11">
        <v>1</v>
      </c>
      <c r="B4" s="12">
        <v>101</v>
      </c>
      <c r="C4" s="13">
        <v>2</v>
      </c>
    </row>
    <row r="5" spans="1:3" x14ac:dyDescent="0.3">
      <c r="A5" s="11">
        <v>2</v>
      </c>
      <c r="B5" s="12">
        <v>103</v>
      </c>
      <c r="C5" s="13">
        <v>1</v>
      </c>
    </row>
    <row r="6" spans="1:3" x14ac:dyDescent="0.3">
      <c r="A6" s="11">
        <v>3</v>
      </c>
      <c r="B6" s="12">
        <v>105</v>
      </c>
      <c r="C6" s="13">
        <v>4</v>
      </c>
    </row>
    <row r="7" spans="1:3" x14ac:dyDescent="0.3">
      <c r="A7" s="11">
        <v>4</v>
      </c>
      <c r="B7" s="12">
        <v>106</v>
      </c>
      <c r="C7" s="13">
        <v>3</v>
      </c>
    </row>
    <row r="8" spans="1:3" x14ac:dyDescent="0.3">
      <c r="A8" s="11">
        <v>5</v>
      </c>
      <c r="B8" s="12">
        <v>102</v>
      </c>
      <c r="C8" s="13">
        <v>5</v>
      </c>
    </row>
    <row r="9" spans="1:3" x14ac:dyDescent="0.3">
      <c r="A9" s="11">
        <v>6</v>
      </c>
      <c r="B9" s="12">
        <v>104</v>
      </c>
      <c r="C9" s="13">
        <v>6</v>
      </c>
    </row>
  </sheetData>
  <mergeCells count="1"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D1BD-DA40-46D0-81E2-CD14BEB40CA6}">
  <dimension ref="A1:D9"/>
  <sheetViews>
    <sheetView workbookViewId="0">
      <selection sqref="A1:D2"/>
    </sheetView>
  </sheetViews>
  <sheetFormatPr defaultRowHeight="14.4" x14ac:dyDescent="0.3"/>
  <cols>
    <col min="4" max="4" width="12.6640625" bestFit="1" customWidth="1"/>
  </cols>
  <sheetData>
    <row r="1" spans="1:4" x14ac:dyDescent="0.3">
      <c r="A1" s="5" t="s">
        <v>20</v>
      </c>
      <c r="B1" s="5"/>
      <c r="C1" s="5"/>
      <c r="D1" s="5"/>
    </row>
    <row r="2" spans="1:4" x14ac:dyDescent="0.3">
      <c r="A2" s="5"/>
      <c r="B2" s="5"/>
      <c r="C2" s="5"/>
      <c r="D2" s="5"/>
    </row>
    <row r="3" spans="1:4" x14ac:dyDescent="0.3">
      <c r="A3" s="1" t="s">
        <v>10</v>
      </c>
      <c r="B3" s="1" t="s">
        <v>0</v>
      </c>
      <c r="C3" s="1" t="s">
        <v>11</v>
      </c>
      <c r="D3" s="17" t="s">
        <v>14</v>
      </c>
    </row>
    <row r="4" spans="1:4" x14ac:dyDescent="0.3">
      <c r="A4" s="11">
        <v>1</v>
      </c>
      <c r="B4" s="12">
        <v>101</v>
      </c>
      <c r="C4" s="13">
        <v>2</v>
      </c>
      <c r="D4" s="3" t="str">
        <f>VLOOKUP(B4,Products!A4:C9,2,FALSE)</f>
        <v>ProductA</v>
      </c>
    </row>
    <row r="5" spans="1:4" x14ac:dyDescent="0.3">
      <c r="A5" s="11">
        <v>2</v>
      </c>
      <c r="B5" s="12">
        <v>103</v>
      </c>
      <c r="C5" s="13">
        <v>1</v>
      </c>
      <c r="D5" s="3" t="str">
        <f>VLOOKUP(B5,Products!A5:C10,2,FALSE)</f>
        <v>ProductC</v>
      </c>
    </row>
    <row r="6" spans="1:4" x14ac:dyDescent="0.3">
      <c r="A6" s="11">
        <v>3</v>
      </c>
      <c r="B6" s="12">
        <v>105</v>
      </c>
      <c r="C6" s="13">
        <v>4</v>
      </c>
      <c r="D6" s="3" t="str">
        <f>VLOOKUP(B6,Products!A6:C11,2,FALSE)</f>
        <v>ProductE</v>
      </c>
    </row>
    <row r="7" spans="1:4" x14ac:dyDescent="0.3">
      <c r="A7" s="11">
        <v>4</v>
      </c>
      <c r="B7" s="12">
        <v>106</v>
      </c>
      <c r="C7" s="13">
        <v>3</v>
      </c>
      <c r="D7" s="3" t="str">
        <f>VLOOKUP(B7,Products!A7:C12,2,FALSE)</f>
        <v>ProductF</v>
      </c>
    </row>
    <row r="8" spans="1:4" x14ac:dyDescent="0.3">
      <c r="A8" s="11">
        <v>5</v>
      </c>
      <c r="B8" s="12">
        <v>102</v>
      </c>
      <c r="C8" s="13">
        <v>5</v>
      </c>
      <c r="D8" s="3" t="str">
        <f>VLOOKUP(B8,Products!A4:C9,2,FALSE)</f>
        <v>ProductB</v>
      </c>
    </row>
    <row r="9" spans="1:4" x14ac:dyDescent="0.3">
      <c r="A9" s="11">
        <v>6</v>
      </c>
      <c r="B9" s="12">
        <v>104</v>
      </c>
      <c r="C9" s="13">
        <v>6</v>
      </c>
      <c r="D9" s="3" t="str">
        <f>VLOOKUP(B9,Products!A5:C10,2,FALSE)</f>
        <v>ProductD</v>
      </c>
    </row>
  </sheetData>
  <mergeCells count="1">
    <mergeCell ref="A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4D1D-17D6-4D36-A4D3-BC7F3DD338C3}">
  <dimension ref="A1:E9"/>
  <sheetViews>
    <sheetView workbookViewId="0">
      <selection sqref="A1:E2"/>
    </sheetView>
  </sheetViews>
  <sheetFormatPr defaultRowHeight="14.4" x14ac:dyDescent="0.3"/>
  <sheetData>
    <row r="1" spans="1:5" x14ac:dyDescent="0.3">
      <c r="A1" s="24" t="s">
        <v>21</v>
      </c>
      <c r="B1" s="15"/>
      <c r="C1" s="15"/>
      <c r="D1" s="15"/>
      <c r="E1" s="15"/>
    </row>
    <row r="2" spans="1:5" x14ac:dyDescent="0.3">
      <c r="A2" s="16"/>
      <c r="B2" s="16"/>
      <c r="C2" s="16"/>
      <c r="D2" s="16"/>
      <c r="E2" s="16"/>
    </row>
    <row r="3" spans="1:5" x14ac:dyDescent="0.3">
      <c r="A3" s="1" t="s">
        <v>10</v>
      </c>
      <c r="B3" s="1" t="s">
        <v>0</v>
      </c>
      <c r="C3" s="1" t="s">
        <v>11</v>
      </c>
      <c r="D3" s="1" t="s">
        <v>2</v>
      </c>
      <c r="E3" s="1" t="s">
        <v>12</v>
      </c>
    </row>
    <row r="4" spans="1:5" x14ac:dyDescent="0.3">
      <c r="A4" s="11">
        <v>1</v>
      </c>
      <c r="B4" s="12">
        <v>101</v>
      </c>
      <c r="C4" s="13">
        <v>2</v>
      </c>
      <c r="D4" s="18">
        <f>VLOOKUP(B4,Products!A4:C9,3,0)</f>
        <v>120</v>
      </c>
      <c r="E4" s="19">
        <f>C4*D4</f>
        <v>240</v>
      </c>
    </row>
    <row r="5" spans="1:5" x14ac:dyDescent="0.3">
      <c r="A5" s="11">
        <v>2</v>
      </c>
      <c r="B5" s="12">
        <v>103</v>
      </c>
      <c r="C5" s="13">
        <v>1</v>
      </c>
      <c r="D5" s="18">
        <f>VLOOKUP(B5,Products!A5:C10,3,0)</f>
        <v>200</v>
      </c>
      <c r="E5" s="19">
        <f t="shared" ref="E5:E9" si="0">C5*D5</f>
        <v>200</v>
      </c>
    </row>
    <row r="6" spans="1:5" x14ac:dyDescent="0.3">
      <c r="A6" s="11">
        <v>3</v>
      </c>
      <c r="B6" s="12">
        <v>105</v>
      </c>
      <c r="C6" s="13">
        <v>4</v>
      </c>
      <c r="D6" s="18">
        <f>VLOOKUP(B6,Products!A6:C11,3,0)</f>
        <v>220</v>
      </c>
      <c r="E6" s="19">
        <f t="shared" si="0"/>
        <v>880</v>
      </c>
    </row>
    <row r="7" spans="1:5" x14ac:dyDescent="0.3">
      <c r="A7" s="11">
        <v>4</v>
      </c>
      <c r="B7" s="12">
        <v>106</v>
      </c>
      <c r="C7" s="13">
        <v>3</v>
      </c>
      <c r="D7" s="18">
        <f>VLOOKUP(B7,Products!A7:C12,3,0)</f>
        <v>130</v>
      </c>
      <c r="E7" s="19">
        <f t="shared" si="0"/>
        <v>390</v>
      </c>
    </row>
    <row r="8" spans="1:5" x14ac:dyDescent="0.3">
      <c r="A8" s="11">
        <v>5</v>
      </c>
      <c r="B8" s="12">
        <v>102</v>
      </c>
      <c r="C8" s="13">
        <v>5</v>
      </c>
      <c r="D8" s="18">
        <f>VLOOKUP(B8,Products!A4:C9,3,0)</f>
        <v>150</v>
      </c>
      <c r="E8" s="19">
        <f t="shared" si="0"/>
        <v>750</v>
      </c>
    </row>
    <row r="9" spans="1:5" x14ac:dyDescent="0.3">
      <c r="A9" s="11">
        <v>6</v>
      </c>
      <c r="B9" s="12">
        <v>104</v>
      </c>
      <c r="C9" s="13">
        <v>6</v>
      </c>
      <c r="D9" s="18">
        <f>VLOOKUP(B9,Products!A5:C10,3,0)</f>
        <v>90</v>
      </c>
      <c r="E9" s="19">
        <f t="shared" si="0"/>
        <v>540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FC71-77E0-4926-B1F3-7C8A9870BFF9}">
  <dimension ref="A2:D8"/>
  <sheetViews>
    <sheetView workbookViewId="0">
      <selection activeCell="D8" sqref="D8"/>
    </sheetView>
  </sheetViews>
  <sheetFormatPr defaultRowHeight="14.4" x14ac:dyDescent="0.3"/>
  <cols>
    <col min="4" max="4" width="11.21875" bestFit="1" customWidth="1"/>
  </cols>
  <sheetData>
    <row r="2" spans="1:4" x14ac:dyDescent="0.3">
      <c r="A2" s="1" t="s">
        <v>10</v>
      </c>
      <c r="B2" s="1" t="s">
        <v>0</v>
      </c>
      <c r="C2" s="1" t="s">
        <v>11</v>
      </c>
      <c r="D2" s="17" t="s">
        <v>15</v>
      </c>
    </row>
    <row r="3" spans="1:4" x14ac:dyDescent="0.3">
      <c r="A3" s="11">
        <v>1</v>
      </c>
      <c r="B3" s="12">
        <v>101</v>
      </c>
      <c r="C3" s="13">
        <v>2</v>
      </c>
      <c r="D3" s="20" t="str">
        <f>IF(ISNA(VLOOKUP(B3,Products!A4:C9,1,0)),"NOT FOUND","OK")</f>
        <v>OK</v>
      </c>
    </row>
    <row r="4" spans="1:4" x14ac:dyDescent="0.3">
      <c r="A4" s="11">
        <v>2</v>
      </c>
      <c r="B4" s="12">
        <v>103</v>
      </c>
      <c r="C4" s="13">
        <v>1</v>
      </c>
      <c r="D4" s="20" t="str">
        <f>IF(ISNA(VLOOKUP(B4,Products!A5:C10,1,0)),"NOT FOUND","OK")</f>
        <v>OK</v>
      </c>
    </row>
    <row r="5" spans="1:4" x14ac:dyDescent="0.3">
      <c r="A5" s="11">
        <v>3</v>
      </c>
      <c r="B5" s="12">
        <v>105</v>
      </c>
      <c r="C5" s="13">
        <v>4</v>
      </c>
      <c r="D5" s="20" t="str">
        <f>IF(ISNA(VLOOKUP(B5,Products!A6:C11,1,0)),"NOT FOUND","OK")</f>
        <v>OK</v>
      </c>
    </row>
    <row r="6" spans="1:4" x14ac:dyDescent="0.3">
      <c r="A6" s="11">
        <v>4</v>
      </c>
      <c r="B6" s="12">
        <v>106</v>
      </c>
      <c r="C6" s="13">
        <v>3</v>
      </c>
      <c r="D6" s="20" t="str">
        <f>IF(ISNA(VLOOKUP(B6,Products!A7:C12,1,0)),"NOT FOUND","OK")</f>
        <v>OK</v>
      </c>
    </row>
    <row r="7" spans="1:4" x14ac:dyDescent="0.3">
      <c r="A7" s="11">
        <v>5</v>
      </c>
      <c r="B7" s="12">
        <v>102</v>
      </c>
      <c r="C7" s="13">
        <v>5</v>
      </c>
      <c r="D7" s="20" t="str">
        <f>IF(ISNA(VLOOKUP(B7,Products!A8:C13,1,0)),"NOT FOUND","OK")</f>
        <v>NOT FOUND</v>
      </c>
    </row>
    <row r="8" spans="1:4" x14ac:dyDescent="0.3">
      <c r="A8" s="11">
        <v>6</v>
      </c>
      <c r="B8" s="12">
        <v>104</v>
      </c>
      <c r="C8" s="13">
        <v>6</v>
      </c>
      <c r="D8" s="20" t="str">
        <f>IF(ISNA(VLOOKUP(B8,Products!A9:C14,1,0)),"NOT FOUND","OK")</f>
        <v>NOT FOUND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6A25-0965-4239-9D0B-DAFAFCBB43CC}">
  <dimension ref="A3:E9"/>
  <sheetViews>
    <sheetView workbookViewId="0">
      <selection activeCell="A3" sqref="A3:D9"/>
    </sheetView>
  </sheetViews>
  <sheetFormatPr defaultRowHeight="14.4" x14ac:dyDescent="0.3"/>
  <cols>
    <col min="5" max="5" width="14.6640625" bestFit="1" customWidth="1"/>
  </cols>
  <sheetData>
    <row r="3" spans="1:5" x14ac:dyDescent="0.3">
      <c r="A3" s="1" t="s">
        <v>10</v>
      </c>
      <c r="B3" s="1" t="s">
        <v>0</v>
      </c>
      <c r="C3" s="1" t="s">
        <v>11</v>
      </c>
      <c r="D3" s="17" t="s">
        <v>2</v>
      </c>
      <c r="E3" s="17" t="s">
        <v>16</v>
      </c>
    </row>
    <row r="4" spans="1:5" x14ac:dyDescent="0.3">
      <c r="A4" s="11">
        <v>1</v>
      </c>
      <c r="B4" s="12">
        <v>101</v>
      </c>
      <c r="C4" s="13">
        <v>2</v>
      </c>
      <c r="D4" s="21">
        <f>VLOOKUP(B4,Products!A4:C9,3,0)</f>
        <v>120</v>
      </c>
      <c r="E4" s="22">
        <f>D4-(D4*10%)</f>
        <v>108</v>
      </c>
    </row>
    <row r="5" spans="1:5" x14ac:dyDescent="0.3">
      <c r="A5" s="11">
        <v>2</v>
      </c>
      <c r="B5" s="12">
        <v>103</v>
      </c>
      <c r="C5" s="13">
        <v>1</v>
      </c>
      <c r="D5" s="21">
        <f>VLOOKUP(B5,Products!A5:C10,3,0)</f>
        <v>200</v>
      </c>
      <c r="E5" s="22">
        <f t="shared" ref="E5:E9" si="0">D5-(D5*10%)</f>
        <v>180</v>
      </c>
    </row>
    <row r="6" spans="1:5" x14ac:dyDescent="0.3">
      <c r="A6" s="11">
        <v>3</v>
      </c>
      <c r="B6" s="12">
        <v>105</v>
      </c>
      <c r="C6" s="13">
        <v>4</v>
      </c>
      <c r="D6" s="21">
        <f>VLOOKUP(B6,Products!A6:C11,3,0)</f>
        <v>220</v>
      </c>
      <c r="E6" s="22">
        <f t="shared" si="0"/>
        <v>198</v>
      </c>
    </row>
    <row r="7" spans="1:5" x14ac:dyDescent="0.3">
      <c r="A7" s="11">
        <v>4</v>
      </c>
      <c r="B7" s="12">
        <v>106</v>
      </c>
      <c r="C7" s="13">
        <v>3</v>
      </c>
      <c r="D7" s="21">
        <f>VLOOKUP(B7,Products!A7:C12,3,0)</f>
        <v>130</v>
      </c>
      <c r="E7" s="22">
        <f t="shared" si="0"/>
        <v>117</v>
      </c>
    </row>
    <row r="8" spans="1:5" x14ac:dyDescent="0.3">
      <c r="A8" s="11">
        <v>5</v>
      </c>
      <c r="B8" s="12">
        <v>102</v>
      </c>
      <c r="C8" s="13">
        <v>5</v>
      </c>
      <c r="D8" s="21">
        <f>VLOOKUP(B8,Products!A4:C9,3,FALSE)</f>
        <v>150</v>
      </c>
      <c r="E8" s="22">
        <f t="shared" si="0"/>
        <v>135</v>
      </c>
    </row>
    <row r="9" spans="1:5" x14ac:dyDescent="0.3">
      <c r="A9" s="11">
        <v>6</v>
      </c>
      <c r="B9" s="12">
        <v>104</v>
      </c>
      <c r="C9" s="13">
        <v>6</v>
      </c>
      <c r="D9" s="21">
        <f>VLOOKUP(B9,Products!A5:C10,3,FALSE)</f>
        <v>90</v>
      </c>
      <c r="E9" s="22">
        <f t="shared" si="0"/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88B1-AA84-47E8-8187-0DAB8626EEAD}">
  <dimension ref="A3:E9"/>
  <sheetViews>
    <sheetView workbookViewId="0">
      <selection activeCell="E4" sqref="E4:E9"/>
    </sheetView>
  </sheetViews>
  <sheetFormatPr defaultRowHeight="14.4" x14ac:dyDescent="0.3"/>
  <cols>
    <col min="5" max="5" width="14.77734375" bestFit="1" customWidth="1"/>
  </cols>
  <sheetData>
    <row r="3" spans="1:5" x14ac:dyDescent="0.3">
      <c r="A3" s="1" t="s">
        <v>10</v>
      </c>
      <c r="B3" s="1" t="s">
        <v>0</v>
      </c>
      <c r="C3" s="1" t="s">
        <v>11</v>
      </c>
      <c r="D3" s="17" t="s">
        <v>2</v>
      </c>
      <c r="E3" s="17" t="s">
        <v>17</v>
      </c>
    </row>
    <row r="4" spans="1:5" x14ac:dyDescent="0.3">
      <c r="A4" s="11">
        <v>1</v>
      </c>
      <c r="B4" s="12">
        <v>101</v>
      </c>
      <c r="C4" s="13">
        <v>2</v>
      </c>
      <c r="D4" s="21">
        <f>VLOOKUP(B4,Products!A4:C9,3,0)</f>
        <v>120</v>
      </c>
      <c r="E4" s="20">
        <f>MAX(C4*D4)</f>
        <v>240</v>
      </c>
    </row>
    <row r="5" spans="1:5" x14ac:dyDescent="0.3">
      <c r="A5" s="11">
        <v>2</v>
      </c>
      <c r="B5" s="12">
        <v>103</v>
      </c>
      <c r="C5" s="13">
        <v>1</v>
      </c>
      <c r="D5" s="21">
        <f>VLOOKUP(B5,Products!A5:C10,3,0)</f>
        <v>200</v>
      </c>
      <c r="E5" s="20">
        <f t="shared" ref="E5:E9" si="0">MAX(C5*D5)</f>
        <v>200</v>
      </c>
    </row>
    <row r="6" spans="1:5" x14ac:dyDescent="0.3">
      <c r="A6" s="11">
        <v>3</v>
      </c>
      <c r="B6" s="12">
        <v>105</v>
      </c>
      <c r="C6" s="13">
        <v>4</v>
      </c>
      <c r="D6" s="21">
        <f>VLOOKUP(B6,Products!A6:C11,3,0)</f>
        <v>220</v>
      </c>
      <c r="E6" s="20">
        <f t="shared" si="0"/>
        <v>880</v>
      </c>
    </row>
    <row r="7" spans="1:5" x14ac:dyDescent="0.3">
      <c r="A7" s="11">
        <v>4</v>
      </c>
      <c r="B7" s="12">
        <v>106</v>
      </c>
      <c r="C7" s="13">
        <v>3</v>
      </c>
      <c r="D7" s="21">
        <f>VLOOKUP(B7,Products!A7:C12,3,0)</f>
        <v>130</v>
      </c>
      <c r="E7" s="20">
        <f t="shared" si="0"/>
        <v>390</v>
      </c>
    </row>
    <row r="8" spans="1:5" x14ac:dyDescent="0.3">
      <c r="A8" s="11">
        <v>5</v>
      </c>
      <c r="B8" s="12">
        <v>102</v>
      </c>
      <c r="C8" s="13">
        <v>5</v>
      </c>
      <c r="D8" s="21">
        <f>VLOOKUP(B8,Products!A4:C9,3,FALSE)</f>
        <v>150</v>
      </c>
      <c r="E8" s="20">
        <f t="shared" si="0"/>
        <v>750</v>
      </c>
    </row>
    <row r="9" spans="1:5" x14ac:dyDescent="0.3">
      <c r="A9" s="11">
        <v>6</v>
      </c>
      <c r="B9" s="12">
        <v>104</v>
      </c>
      <c r="C9" s="13">
        <v>6</v>
      </c>
      <c r="D9" s="21">
        <f>VLOOKUP(B9,Products!A5:C10,3,FALSE)</f>
        <v>90</v>
      </c>
      <c r="E9" s="20">
        <f t="shared" si="0"/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5A0-E273-43BB-BB7F-58C773E49280}">
  <dimension ref="A3:D9"/>
  <sheetViews>
    <sheetView workbookViewId="0">
      <selection activeCell="E6" sqref="E6"/>
    </sheetView>
  </sheetViews>
  <sheetFormatPr defaultRowHeight="14.4" x14ac:dyDescent="0.3"/>
  <cols>
    <col min="4" max="4" width="13.21875" bestFit="1" customWidth="1"/>
  </cols>
  <sheetData>
    <row r="3" spans="1:4" x14ac:dyDescent="0.3">
      <c r="A3" s="1" t="s">
        <v>0</v>
      </c>
      <c r="B3" s="1" t="s">
        <v>1</v>
      </c>
      <c r="C3" s="1" t="s">
        <v>2</v>
      </c>
      <c r="D3" s="17" t="s">
        <v>18</v>
      </c>
    </row>
    <row r="4" spans="1:4" x14ac:dyDescent="0.3">
      <c r="A4" s="2">
        <v>101</v>
      </c>
      <c r="B4" s="3" t="s">
        <v>3</v>
      </c>
      <c r="C4" s="4">
        <v>120</v>
      </c>
      <c r="D4" s="14" t="str">
        <f>IF(ISNA(VLOOKUP(A4,Orders!A4:C9,1,0)),"NOT ORDERED","ORDERED")</f>
        <v>NOT ORDERED</v>
      </c>
    </row>
    <row r="5" spans="1:4" x14ac:dyDescent="0.3">
      <c r="A5" s="2">
        <v>102</v>
      </c>
      <c r="B5" s="3" t="s">
        <v>4</v>
      </c>
      <c r="C5" s="4">
        <v>150</v>
      </c>
      <c r="D5" s="14" t="str">
        <f>IF(ISNA(VLOOKUP(A5,Orders!A5:C10,1,0)),"NOT ORDERED","ORDERED")</f>
        <v>NOT ORDERED</v>
      </c>
    </row>
    <row r="6" spans="1:4" x14ac:dyDescent="0.3">
      <c r="A6" s="2">
        <v>103</v>
      </c>
      <c r="B6" s="3" t="s">
        <v>5</v>
      </c>
      <c r="C6" s="4">
        <v>200</v>
      </c>
      <c r="D6" s="14" t="str">
        <f>IF(ISNA(VLOOKUP(A6,Orders!A6:C11,1,0)),"NOT ORDERED","ORDERED")</f>
        <v>NOT ORDERED</v>
      </c>
    </row>
    <row r="7" spans="1:4" x14ac:dyDescent="0.3">
      <c r="A7" s="2">
        <v>104</v>
      </c>
      <c r="B7" s="3" t="s">
        <v>6</v>
      </c>
      <c r="C7" s="4">
        <v>90</v>
      </c>
      <c r="D7" s="14" t="str">
        <f>IF(ISNA(VLOOKUP(A7,Orders!A7:C12,1,0)),"NOT ORDERED","ORDERED")</f>
        <v>NOT ORDERED</v>
      </c>
    </row>
    <row r="8" spans="1:4" x14ac:dyDescent="0.3">
      <c r="A8" s="2">
        <v>105</v>
      </c>
      <c r="B8" s="3" t="s">
        <v>7</v>
      </c>
      <c r="C8" s="4">
        <v>220</v>
      </c>
      <c r="D8" s="14" t="str">
        <f>IF(ISNA(VLOOKUP(A8,Orders!A8:C13,1,0)),"NOT ORDERED","ORDERED")</f>
        <v>NOT ORDERED</v>
      </c>
    </row>
    <row r="9" spans="1:4" x14ac:dyDescent="0.3">
      <c r="A9" s="2">
        <v>106</v>
      </c>
      <c r="B9" s="3" t="s">
        <v>8</v>
      </c>
      <c r="C9" s="4">
        <v>130</v>
      </c>
      <c r="D9" s="14" t="str">
        <f>IF(ISNA(VLOOKUP(A9,Orders!A9:C14,1,0)),"NOT ORDERED","ORDERED")</f>
        <v>NOT ORDERED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B2CB-76BE-4C41-978C-1772809B816E}">
  <dimension ref="A3:D9"/>
  <sheetViews>
    <sheetView tabSelected="1" workbookViewId="0">
      <selection activeCell="D4" sqref="D4:D9"/>
    </sheetView>
  </sheetViews>
  <sheetFormatPr defaultRowHeight="14.4" x14ac:dyDescent="0.3"/>
  <cols>
    <col min="4" max="4" width="16.6640625" bestFit="1" customWidth="1"/>
  </cols>
  <sheetData>
    <row r="3" spans="1:4" x14ac:dyDescent="0.3">
      <c r="A3" s="1" t="s">
        <v>0</v>
      </c>
      <c r="B3" s="1" t="s">
        <v>1</v>
      </c>
      <c r="C3" s="1" t="s">
        <v>2</v>
      </c>
      <c r="D3" s="17" t="s">
        <v>19</v>
      </c>
    </row>
    <row r="4" spans="1:4" x14ac:dyDescent="0.3">
      <c r="A4" s="2">
        <v>101</v>
      </c>
      <c r="B4" s="3" t="s">
        <v>3</v>
      </c>
      <c r="C4" s="4">
        <v>120</v>
      </c>
      <c r="D4" s="14">
        <f>SUMIF(Orders!B4:B9,A4,'7TH'!C4:C9)</f>
        <v>120</v>
      </c>
    </row>
    <row r="5" spans="1:4" x14ac:dyDescent="0.3">
      <c r="A5" s="2">
        <v>102</v>
      </c>
      <c r="B5" s="3" t="s">
        <v>4</v>
      </c>
      <c r="C5" s="4">
        <v>150</v>
      </c>
      <c r="D5" s="14">
        <f>SUMIF(Orders!B5:B10,A5,'7TH'!C5:C10)</f>
        <v>220</v>
      </c>
    </row>
    <row r="6" spans="1:4" x14ac:dyDescent="0.3">
      <c r="A6" s="2">
        <v>103</v>
      </c>
      <c r="B6" s="3" t="s">
        <v>5</v>
      </c>
      <c r="C6" s="4">
        <v>200</v>
      </c>
      <c r="D6" s="14">
        <f>SUMIF(Orders!B6:B11,A6,'7TH'!C6:C11)</f>
        <v>0</v>
      </c>
    </row>
    <row r="7" spans="1:4" x14ac:dyDescent="0.3">
      <c r="A7" s="2">
        <v>104</v>
      </c>
      <c r="B7" s="3" t="s">
        <v>6</v>
      </c>
      <c r="C7" s="4">
        <v>90</v>
      </c>
      <c r="D7" s="14">
        <f>SUMIF(Orders!B7:B12,A7,'7TH'!C7:C12)</f>
        <v>130</v>
      </c>
    </row>
    <row r="8" spans="1:4" x14ac:dyDescent="0.3">
      <c r="A8" s="2">
        <v>105</v>
      </c>
      <c r="B8" s="3" t="s">
        <v>7</v>
      </c>
      <c r="C8" s="4">
        <v>220</v>
      </c>
      <c r="D8" s="14">
        <f>SUMIF(Orders!B8:B13,A8,'7TH'!C8:C13)</f>
        <v>0</v>
      </c>
    </row>
    <row r="9" spans="1:4" x14ac:dyDescent="0.3">
      <c r="A9" s="2">
        <v>106</v>
      </c>
      <c r="B9" s="3" t="s">
        <v>8</v>
      </c>
      <c r="C9" s="4">
        <v>130</v>
      </c>
      <c r="D9" s="14">
        <f>SUMIF(Orders!B9:B14,A9,'7TH'!C9:C14)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Orders</vt:lpstr>
      <vt:lpstr>1ST</vt:lpstr>
      <vt:lpstr>2nd</vt:lpstr>
      <vt:lpstr>3RD</vt:lpstr>
      <vt:lpstr>4TH</vt:lpstr>
      <vt:lpstr>5TH</vt:lpstr>
      <vt:lpstr>6TH</vt:lpstr>
      <vt:lpstr>7TH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jhilik sarkar</cp:lastModifiedBy>
  <dcterms:created xsi:type="dcterms:W3CDTF">2025-11-28T17:30:08Z</dcterms:created>
  <dcterms:modified xsi:type="dcterms:W3CDTF">2025-11-28T18:27:11Z</dcterms:modified>
</cp:coreProperties>
</file>