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xr:revisionPtr revIDLastSave="0" documentId="13_ncr:1_{DD58E23B-4798-4D66-9902-13269EA181D2}" xr6:coauthVersionLast="47" xr6:coauthVersionMax="47" xr10:uidLastSave="{00000000-0000-0000-0000-000000000000}"/>
  <bookViews>
    <workbookView xWindow="-108" yWindow="-108" windowWidth="23256" windowHeight="12456" xr2:uid="{DC8F0908-062C-411B-88DE-F14496B78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/>
  <c r="I11" i="1"/>
  <c r="J11" i="1"/>
  <c r="K11" i="1"/>
  <c r="L11" i="1"/>
  <c r="M11" i="1"/>
  <c r="L12" i="1"/>
  <c r="L13" i="1"/>
  <c r="L14" i="1"/>
  <c r="L15" i="1"/>
  <c r="L16" i="1"/>
  <c r="M12" i="1"/>
  <c r="M13" i="1"/>
  <c r="M14" i="1"/>
  <c r="M15" i="1"/>
  <c r="M16" i="1"/>
  <c r="K12" i="1"/>
  <c r="K13" i="1"/>
  <c r="K14" i="1"/>
  <c r="K15" i="1"/>
  <c r="K16" i="1"/>
  <c r="J12" i="1"/>
  <c r="J13" i="1"/>
  <c r="J14" i="1"/>
  <c r="J15" i="1"/>
  <c r="J16" i="1"/>
  <c r="I12" i="1"/>
  <c r="I13" i="1"/>
  <c r="I14" i="1"/>
  <c r="I15" i="1"/>
  <c r="I16" i="1"/>
  <c r="H12" i="1"/>
  <c r="H13" i="1"/>
  <c r="H14" i="1"/>
  <c r="H15" i="1"/>
  <c r="H16" i="1"/>
  <c r="G12" i="1"/>
  <c r="G13" i="1"/>
  <c r="G14" i="1"/>
  <c r="G15" i="1"/>
  <c r="G16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<sst xmlns="http://schemas.openxmlformats.org/spreadsheetml/2006/main" count="26" uniqueCount="20">
  <si>
    <t>ProductID</t>
  </si>
  <si>
    <t>Product A</t>
  </si>
  <si>
    <t>Product C</t>
  </si>
  <si>
    <t>Product B</t>
  </si>
  <si>
    <t>Product D</t>
  </si>
  <si>
    <t>Product E</t>
  </si>
  <si>
    <t>Product F</t>
  </si>
  <si>
    <t>North</t>
  </si>
  <si>
    <t>South</t>
  </si>
  <si>
    <t>East</t>
  </si>
  <si>
    <t>West</t>
  </si>
  <si>
    <t>ASSIGHNMENT-1</t>
  </si>
  <si>
    <t>Sales Target</t>
  </si>
  <si>
    <t>Eligible Bonus</t>
  </si>
  <si>
    <t>Commision Rate</t>
  </si>
  <si>
    <t>Bonus Ammount</t>
  </si>
  <si>
    <t>Sales Performance</t>
  </si>
  <si>
    <t>Price tier</t>
  </si>
  <si>
    <t>Year End Bonus</t>
  </si>
  <si>
    <t>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</si>
</sst>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9" fontId="0" fillId="2" borderId="1" xfId="1" applyFont="1" applyFill="1" applyBorder="1"/>
    <xf numFmtId="0" fontId="2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46E3-3EA2-486E-B9AE-E6F8204AB60C}">
  <dimension ref="A1:M16"/>
  <sheetViews>
    <sheetView tabSelected="1" workbookViewId="0">
      <selection activeCell="M19" sqref="A1:XFD1048576"/>
    </sheetView>
  </sheetViews>
  <sheetFormatPr defaultRowHeight="14.4" x14ac:dyDescent="0.3"/>
  <cols>
    <col min="1" max="5" width="10.33203125" bestFit="1" customWidth="1"/>
    <col min="6" max="6" width="12.109375" bestFit="1" customWidth="1"/>
    <col min="7" max="7" width="14.109375" bestFit="1" customWidth="1"/>
    <col min="8" max="8" width="16.33203125" bestFit="1" customWidth="1"/>
    <col min="9" max="9" width="16.77734375" bestFit="1" customWidth="1"/>
    <col min="10" max="10" width="18.33203125" bestFit="1" customWidth="1"/>
    <col min="11" max="11" width="10.33203125" bestFit="1" customWidth="1"/>
    <col min="12" max="12" width="15.6640625" bestFit="1" customWidth="1"/>
    <col min="13" max="13" width="13.44140625" bestFit="1" customWidth="1"/>
  </cols>
  <sheetData>
    <row r="1" spans="1:13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3">
      <c r="A7" s="4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.6" x14ac:dyDescent="0.3">
      <c r="A10" s="3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</row>
    <row r="11" spans="1:13" x14ac:dyDescent="0.3">
      <c r="A11" s="1">
        <v>101</v>
      </c>
      <c r="B11" s="1" t="s">
        <v>1</v>
      </c>
      <c r="C11" s="1">
        <v>120</v>
      </c>
      <c r="D11" s="1">
        <v>150</v>
      </c>
      <c r="E11" s="1" t="s">
        <v>7</v>
      </c>
      <c r="F11" s="1" t="str">
        <f>IF(C11=D11,"Reached","Not Reached")</f>
        <v>Not Reached</v>
      </c>
      <c r="G11" s="1" t="str">
        <f>IF(AND(E11="NORTH",C11&gt;200),"Bonus","No Bonus")</f>
        <v>No Bonus</v>
      </c>
      <c r="H11" s="1">
        <f>IF(C11&gt;=200,10%*C11,IF(C11&gt;=150,7%*C11,5%*C11))</f>
        <v>6</v>
      </c>
      <c r="I11" s="2">
        <f>IF(C11&gt;=D11,10%*C11,5%*C11)</f>
        <v>6</v>
      </c>
      <c r="J11" s="1" t="str">
        <f>IF(C11&gt;=200,"Exellent",IF(C11&gt;=150,"Good",IF(C11&lt;150,"Needs Improvement")))</f>
        <v>Needs Improvement</v>
      </c>
      <c r="K11" s="1" t="str">
        <f>IF(C11&gt;200,"HIGH",IF(C11&gt;=100,"MEDIUM",IF(C11&lt;100,"LOW")))</f>
        <v>MEDIUM</v>
      </c>
      <c r="L11" s="1" t="str">
        <f>IF(AND(C11&gt;=150,E11="North"),"$500","$300")</f>
        <v>$300</v>
      </c>
      <c r="M11" s="1" t="str">
        <f>IF(C11&gt;=PERCENTILE($C$11:C16,0.75),"High Performer","NORMAL")</f>
        <v>NORMAL</v>
      </c>
    </row>
    <row r="12" spans="1:13" x14ac:dyDescent="0.3">
      <c r="A12" s="1">
        <v>102</v>
      </c>
      <c r="B12" s="1" t="s">
        <v>3</v>
      </c>
      <c r="C12" s="1">
        <v>150</v>
      </c>
      <c r="D12" s="1">
        <v>140</v>
      </c>
      <c r="E12" s="1" t="s">
        <v>8</v>
      </c>
      <c r="F12" s="1" t="str">
        <f t="shared" ref="F12:F16" si="0">IF(C12=D12,"Reached","Not Reached")</f>
        <v>Not Reached</v>
      </c>
      <c r="G12" s="1" t="str">
        <f t="shared" ref="G12:G16" si="1">IF(AND(E12="NORTH",C12&gt;200),"Bonus","No Bonus")</f>
        <v>No Bonus</v>
      </c>
      <c r="H12" s="1">
        <f t="shared" ref="H12:H16" si="2">IF(C12&gt;=200,10%*C12,IF(C12&gt;=150,7%*C12,5%*C12))</f>
        <v>10.500000000000002</v>
      </c>
      <c r="I12" s="2">
        <f t="shared" ref="I12:I16" si="3">IF(C12&gt;=D12,10%*C12,5%*C12)</f>
        <v>15</v>
      </c>
      <c r="J12" s="1" t="str">
        <f t="shared" ref="J12:J16" si="4">IF(C12&gt;=200,"Exellent",IF(C12&gt;=150,"Good",IF(C12&lt;150,"Needs Improvement")))</f>
        <v>Good</v>
      </c>
      <c r="K12" s="1" t="str">
        <f t="shared" ref="K12:K16" si="5">IF(C12&gt;200,"HIGH",IF(C12&gt;=100,"MEDIUM",IF(C12&lt;100,"LOW")))</f>
        <v>MEDIUM</v>
      </c>
      <c r="L12" s="1" t="str">
        <f t="shared" ref="L12:L16" si="6">IF(AND(C12&gt;=150,E12="North"),"$500","$300")</f>
        <v>$300</v>
      </c>
      <c r="M12" s="1" t="str">
        <f t="shared" ref="M12:M13" si="7">IF(C12&gt;=PERCENTILE(C12:C17,0.75),"High Performer","NORMAL")</f>
        <v>NORMAL</v>
      </c>
    </row>
    <row r="13" spans="1:13" x14ac:dyDescent="0.3">
      <c r="A13" s="1">
        <v>103</v>
      </c>
      <c r="B13" s="1" t="s">
        <v>2</v>
      </c>
      <c r="C13" s="1">
        <v>200</v>
      </c>
      <c r="D13" s="1">
        <v>200</v>
      </c>
      <c r="E13" s="1" t="s">
        <v>9</v>
      </c>
      <c r="F13" s="1" t="str">
        <f t="shared" si="0"/>
        <v>Reached</v>
      </c>
      <c r="G13" s="1" t="str">
        <f t="shared" si="1"/>
        <v>No Bonus</v>
      </c>
      <c r="H13" s="1">
        <f t="shared" si="2"/>
        <v>20</v>
      </c>
      <c r="I13" s="2">
        <f t="shared" si="3"/>
        <v>20</v>
      </c>
      <c r="J13" s="1" t="str">
        <f t="shared" si="4"/>
        <v>Exellent</v>
      </c>
      <c r="K13" s="1" t="str">
        <f t="shared" si="5"/>
        <v>MEDIUM</v>
      </c>
      <c r="L13" s="1" t="str">
        <f t="shared" si="6"/>
        <v>$300</v>
      </c>
      <c r="M13" s="1" t="str">
        <f t="shared" si="7"/>
        <v>NORMAL</v>
      </c>
    </row>
    <row r="14" spans="1:13" x14ac:dyDescent="0.3">
      <c r="A14" s="1">
        <v>104</v>
      </c>
      <c r="B14" s="1" t="s">
        <v>4</v>
      </c>
      <c r="C14" s="1">
        <v>90</v>
      </c>
      <c r="D14" s="1">
        <v>100</v>
      </c>
      <c r="E14" s="1" t="s">
        <v>10</v>
      </c>
      <c r="F14" s="1" t="str">
        <f t="shared" si="0"/>
        <v>Not Reached</v>
      </c>
      <c r="G14" s="1" t="str">
        <f t="shared" si="1"/>
        <v>No Bonus</v>
      </c>
      <c r="H14" s="1">
        <f t="shared" si="2"/>
        <v>4.5</v>
      </c>
      <c r="I14" s="2">
        <f t="shared" si="3"/>
        <v>4.5</v>
      </c>
      <c r="J14" s="1" t="str">
        <f t="shared" si="4"/>
        <v>Needs Improvement</v>
      </c>
      <c r="K14" s="1" t="str">
        <f t="shared" si="5"/>
        <v>LOW</v>
      </c>
      <c r="L14" s="1" t="str">
        <f t="shared" si="6"/>
        <v>$300</v>
      </c>
      <c r="M14" s="1" t="str">
        <f>IF(C14&gt;=PERCENTILE(C14:C21,0.75),"High Performer","NORMAL")</f>
        <v>NORMAL</v>
      </c>
    </row>
    <row r="15" spans="1:13" x14ac:dyDescent="0.3">
      <c r="A15" s="1">
        <v>105</v>
      </c>
      <c r="B15" s="1" t="s">
        <v>5</v>
      </c>
      <c r="C15" s="1">
        <v>220</v>
      </c>
      <c r="D15" s="1">
        <v>210</v>
      </c>
      <c r="E15" s="1" t="s">
        <v>7</v>
      </c>
      <c r="F15" s="1" t="str">
        <f t="shared" si="0"/>
        <v>Not Reached</v>
      </c>
      <c r="G15" s="1" t="str">
        <f t="shared" si="1"/>
        <v>Bonus</v>
      </c>
      <c r="H15" s="1">
        <f t="shared" si="2"/>
        <v>22</v>
      </c>
      <c r="I15" s="2">
        <f t="shared" si="3"/>
        <v>22</v>
      </c>
      <c r="J15" s="1" t="str">
        <f t="shared" si="4"/>
        <v>Exellent</v>
      </c>
      <c r="K15" s="1" t="str">
        <f t="shared" si="5"/>
        <v>HIGH</v>
      </c>
      <c r="L15" s="1" t="str">
        <f t="shared" si="6"/>
        <v>$500</v>
      </c>
      <c r="M15" s="1" t="str">
        <f>IF(C15&gt;=PERCENTILE(C15:C22,0.75),"High Performer","NORMAL")</f>
        <v>High Performer</v>
      </c>
    </row>
    <row r="16" spans="1:13" x14ac:dyDescent="0.3">
      <c r="A16" s="1">
        <v>106</v>
      </c>
      <c r="B16" s="1" t="s">
        <v>6</v>
      </c>
      <c r="C16" s="1">
        <v>130</v>
      </c>
      <c r="D16" s="1">
        <v>160</v>
      </c>
      <c r="E16" s="1" t="s">
        <v>8</v>
      </c>
      <c r="F16" s="1" t="str">
        <f t="shared" si="0"/>
        <v>Not Reached</v>
      </c>
      <c r="G16" s="1" t="str">
        <f t="shared" si="1"/>
        <v>No Bonus</v>
      </c>
      <c r="H16" s="1">
        <f t="shared" si="2"/>
        <v>6.5</v>
      </c>
      <c r="I16" s="2">
        <f t="shared" si="3"/>
        <v>6.5</v>
      </c>
      <c r="J16" s="1" t="str">
        <f t="shared" si="4"/>
        <v>Needs Improvement</v>
      </c>
      <c r="K16" s="1" t="str">
        <f t="shared" si="5"/>
        <v>MEDIUM</v>
      </c>
      <c r="L16" s="1" t="str">
        <f t="shared" si="6"/>
        <v>$300</v>
      </c>
      <c r="M16" s="1" t="str">
        <f>IF(C16&gt;=PERCENTILE(C16:C23,0.75),"High Performer","NORMAL")</f>
        <v>High Performer</v>
      </c>
    </row>
  </sheetData>
  <mergeCells count="2">
    <mergeCell ref="A7:M9"/>
    <mergeCell ref="A1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jhilik sarkar</cp:lastModifiedBy>
  <dcterms:created xsi:type="dcterms:W3CDTF">2025-11-23T18:20:05Z</dcterms:created>
  <dcterms:modified xsi:type="dcterms:W3CDTF">2025-11-27T04:47:15Z</dcterms:modified>
</cp:coreProperties>
</file>